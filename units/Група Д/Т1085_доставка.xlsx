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<sst xmlns="http://schemas.openxmlformats.org/spreadsheetml/2006/main" count="364" uniqueCount="124">
  <si>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</si>
  <si>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</si>
  <si>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</si>
  <si>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</si>
  <si>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</si>
  <si>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</si>
  <si>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</si>
  <si>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</si>
  <si>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</si>
  <si>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</si>
  <si>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</si>
  <si>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</si>
  <si>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</si>
  <si>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</si>
  <si>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</si>
  <si>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</si>
  <si>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</si>
  <si>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</si>
  <si>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</si>
  <si>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</si>
  <si>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</si>
  <si>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</si>
  <si>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</si>
  <si>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Т1085</t>
  </si>
  <si>
    <t xml:space="preserve">основний склад</t>
  </si>
  <si>
    <t xml:space="preserve">Лелека</t>
  </si>
  <si>
    <t xml:space="preserve">сол. Ткачук</t>
  </si>
  <si>
    <t xml:space="preserve">НРК</t>
  </si>
  <si>
    <t xml:space="preserve">НРК колісний</t>
  </si>
  <si>
    <t xml:space="preserve">https://nextcloud.example/s/test12622</t>
  </si>
  <si>
    <t xml:space="preserve">перенесено через обстріл</t>
  </si>
  <si>
    <t xml:space="preserve">Яструб</t>
  </si>
  <si>
    <t xml:space="preserve">мол. серж. Павлюк</t>
  </si>
  <si>
    <t xml:space="preserve">НРК гусеничний</t>
  </si>
  <si>
    <t xml:space="preserve">https://nextcloud.example/s/test12640</t>
  </si>
  <si>
    <t xml:space="preserve">доставлено в повному обсязі</t>
  </si>
  <si>
    <t xml:space="preserve">Дуб</t>
  </si>
  <si>
    <t xml:space="preserve">сол. Литвин</t>
  </si>
  <si>
    <t xml:space="preserve">пішим порядком</t>
  </si>
  <si>
    <t xml:space="preserve">група підносу</t>
  </si>
  <si>
    <t xml:space="preserve">https://nextcloud.example/s/test12614</t>
  </si>
  <si>
    <t xml:space="preserve">Беркут</t>
  </si>
  <si>
    <t xml:space="preserve">БпЛА</t>
  </si>
  <si>
    <t xml:space="preserve">дрон-доставщик важкий</t>
  </si>
  <si>
    <t xml:space="preserve">https://nextcloud.example/s/test12631</t>
  </si>
  <si>
    <t xml:space="preserve">Пролісок</t>
  </si>
  <si>
    <t xml:space="preserve">ст. сол. Коваленко</t>
  </si>
  <si>
    <t xml:space="preserve">https://nextcloud.example/s/test12606</t>
  </si>
  <si>
    <t xml:space="preserve">мол. серж. Руденко</t>
  </si>
  <si>
    <t xml:space="preserve">https://nextcloud.example/s/test12641</t>
  </si>
  <si>
    <t xml:space="preserve">ст. серж. Ткачук</t>
  </si>
  <si>
    <t xml:space="preserve">https://nextcloud.example/s/test12632</t>
  </si>
  <si>
    <t xml:space="preserve">ст. сол. Мельник</t>
  </si>
  <si>
    <t xml:space="preserve">https://nextcloud.example/s/test12607</t>
  </si>
  <si>
    <t xml:space="preserve">ст. сол. Кушнір</t>
  </si>
  <si>
    <t xml:space="preserve">дрон-доставщик легкий</t>
  </si>
  <si>
    <t xml:space="preserve">https://nextcloud.example/s/test12623</t>
  </si>
  <si>
    <t xml:space="preserve">ст. серж. Коваленко</t>
  </si>
  <si>
    <t xml:space="preserve">https://nextcloud.example/s/test12615</t>
  </si>
  <si>
    <t xml:space="preserve">зрив доставки, повтор наступного дня</t>
  </si>
  <si>
    <t xml:space="preserve">серж. Лисенко</t>
  </si>
  <si>
    <t xml:space="preserve">https://nextcloud.example/s/test12642</t>
  </si>
  <si>
    <t xml:space="preserve">ст. серж. Лисенко</t>
  </si>
  <si>
    <t xml:space="preserve">https://nextcloud.example/s/test12624</t>
  </si>
  <si>
    <t xml:space="preserve">сол. Савчук</t>
  </si>
  <si>
    <t xml:space="preserve">автотранспорт</t>
  </si>
  <si>
    <t xml:space="preserve">пікап</t>
  </si>
  <si>
    <t xml:space="preserve">https://nextcloud.example/s/test12616</t>
  </si>
  <si>
    <t xml:space="preserve">ст. серж. Литвин</t>
  </si>
  <si>
    <t xml:space="preserve">https://nextcloud.example/s/test12633</t>
  </si>
  <si>
    <t xml:space="preserve">сол. Кравець</t>
  </si>
  <si>
    <t xml:space="preserve">https://nextcloud.example/s/test12608</t>
  </si>
  <si>
    <t xml:space="preserve">ст. сол. Лисенко</t>
  </si>
  <si>
    <t xml:space="preserve">https://nextcloud.example/s/test12617</t>
  </si>
  <si>
    <t xml:space="preserve">ст. серж. Руденко</t>
  </si>
  <si>
    <t xml:space="preserve">https://nextcloud.example/s/test12634</t>
  </si>
  <si>
    <t xml:space="preserve">серж. Мороз</t>
  </si>
  <si>
    <t xml:space="preserve">https://nextcloud.example/s/test12643</t>
  </si>
  <si>
    <t xml:space="preserve">мол. серж. Кушнір</t>
  </si>
  <si>
    <t xml:space="preserve">https://nextcloud.example/s/test12644</t>
  </si>
  <si>
    <t xml:space="preserve">АКБ на зарядку повернуто</t>
  </si>
  <si>
    <t xml:space="preserve">сол. Гаврилюк</t>
  </si>
  <si>
    <t xml:space="preserve">https://nextcloud.example/s/test12609</t>
  </si>
  <si>
    <t xml:space="preserve">https://nextcloud.example/s/test12625</t>
  </si>
  <si>
    <t xml:space="preserve">серж. Шевчук</t>
  </si>
  <si>
    <t xml:space="preserve">https://nextcloud.example/s/test12635</t>
  </si>
  <si>
    <t xml:space="preserve">потрібна вода додатково</t>
  </si>
  <si>
    <t xml:space="preserve">сол. Кушнір</t>
  </si>
  <si>
    <t xml:space="preserve">https://nextcloud.example/s/test12626</t>
  </si>
  <si>
    <t xml:space="preserve">серж. Гнатюк</t>
  </si>
  <si>
    <t xml:space="preserve">https://nextcloud.example/s/test12618</t>
  </si>
  <si>
    <t xml:space="preserve">https://nextcloud.example/s/test12627</t>
  </si>
  <si>
    <t xml:space="preserve">мол. серж. Лисенко</t>
  </si>
  <si>
    <t xml:space="preserve">https://nextcloud.example/s/test12610</t>
  </si>
  <si>
    <t xml:space="preserve">мол. серж. Савчук</t>
  </si>
  <si>
    <t xml:space="preserve">https://nextcloud.example/s/test12645</t>
  </si>
  <si>
    <t xml:space="preserve">ст. сол. Ткачук</t>
  </si>
  <si>
    <t xml:space="preserve">https://nextcloud.example/s/test12636</t>
  </si>
  <si>
    <t xml:space="preserve">мол. серж. Олійник</t>
  </si>
  <si>
    <t xml:space="preserve">https://nextcloud.example/s/test12619</t>
  </si>
  <si>
    <t xml:space="preserve">https://nextcloud.example/s/test12637</t>
  </si>
  <si>
    <t xml:space="preserve">мол. серж. Бондар</t>
  </si>
  <si>
    <t xml:space="preserve">https://nextcloud.example/s/test12611</t>
  </si>
  <si>
    <t xml:space="preserve">ст. серж. Марченко</t>
  </si>
  <si>
    <t xml:space="preserve">https://nextcloud.example/s/test12628</t>
  </si>
  <si>
    <t xml:space="preserve">https://nextcloud.example/s/test12646</t>
  </si>
  <si>
    <t xml:space="preserve">серж. Коваленко</t>
  </si>
  <si>
    <t xml:space="preserve">https://nextcloud.example/s/test12620</t>
  </si>
  <si>
    <t xml:space="preserve">https://nextcloud.example/s/test12612</t>
  </si>
  <si>
    <t xml:space="preserve">ст. серж. Мороз</t>
  </si>
  <si>
    <t xml:space="preserve">https://nextcloud.example/s/test12638</t>
  </si>
  <si>
    <t xml:space="preserve">ст. серж. Олійник</t>
  </si>
  <si>
    <t xml:space="preserve">https://nextcloud.example/s/test12629</t>
  </si>
  <si>
    <t xml:space="preserve">ст. сол. Гаврилюк</t>
  </si>
  <si>
    <t xml:space="preserve">https://nextcloud.example/s/test12639</t>
  </si>
  <si>
    <t xml:space="preserve">https://nextcloud.example/s/test12621</t>
  </si>
  <si>
    <t xml:space="preserve">доставлено частково</t>
  </si>
  <si>
    <t xml:space="preserve">ст. серж. Павлюк</t>
  </si>
  <si>
    <t xml:space="preserve">https://nextcloud.example/s/test12613</t>
  </si>
  <si>
    <t xml:space="preserve">ст. сол. Руденко</t>
  </si>
  <si>
    <t xml:space="preserve">https://nextcloud.example/s/test12630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</si>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</sst>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46293.2152777778</v>
      </c>
      <c r="G2" s="5" t="n">
        <v>18.8</v>
      </c>
      <c r="H2" s="5" t="n">
        <v>12.6</v>
      </c>
      <c r="I2" s="5" t="n">
        <v>37.7</v>
      </c>
      <c r="J2" s="5" t="n">
        <v>4.2</v>
      </c>
      <c r="K2" s="5" t="n">
        <v>8.4</v>
      </c>
      <c r="L2" s="5" t="n">
        <v>0</v>
      </c>
      <c r="M2" s="5" t="n">
        <v>0</v>
      </c>
      <c r="N2" s="5" t="n">
        <v>10.5</v>
      </c>
      <c r="O2" s="5" t="n">
        <v>2.1</v>
      </c>
      <c r="P2" s="5" t="n">
        <v>8.4</v>
      </c>
      <c r="Q2" s="6" t="n">
        <f aca="false">IF(COUNT(G2:P2)=0,"",SUM(G2:P2))</f>
        <v>102.7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46293.2152777778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2</v>
      </c>
      <c r="F3" s="4" t="n">
        <v>46293.25</v>
      </c>
      <c r="G3" s="5" t="n">
        <v>26.3</v>
      </c>
      <c r="H3" s="5" t="n">
        <v>17.5</v>
      </c>
      <c r="I3" s="5" t="n">
        <v>52.6</v>
      </c>
      <c r="J3" s="5" t="n">
        <v>0</v>
      </c>
      <c r="K3" s="5" t="n">
        <v>35.1</v>
      </c>
      <c r="L3" s="5" t="n">
        <v>13.2</v>
      </c>
      <c r="M3" s="5" t="n">
        <v>0</v>
      </c>
      <c r="N3" s="5" t="n">
        <v>21.9</v>
      </c>
      <c r="O3" s="5" t="n">
        <v>13.2</v>
      </c>
      <c r="P3" s="5" t="n">
        <v>0</v>
      </c>
      <c r="Q3" s="6" t="n">
        <f aca="false">IF(COUNT(G3:P3)=0,"",SUM(G3:P3))</f>
        <v>179.8</v>
      </c>
      <c r="R3" s="3" t="s">
        <v>32</v>
      </c>
      <c r="S3" s="3" t="s">
        <v>27</v>
      </c>
      <c r="T3" s="3" t="s">
        <v>33</v>
      </c>
      <c r="U3" s="3" t="s">
        <v>34</v>
      </c>
      <c r="V3" s="3" t="s">
        <v>35</v>
      </c>
      <c r="W3" s="4" t="n">
        <v>46293.375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2</v>
      </c>
      <c r="F4" s="4" t="n">
        <v>46293.2847222222</v>
      </c>
      <c r="G4" s="5" t="n">
        <v>3.6</v>
      </c>
      <c r="H4" s="5" t="n">
        <v>2.4</v>
      </c>
      <c r="I4" s="5" t="n">
        <v>7.3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6.1</v>
      </c>
      <c r="O4" s="5" t="n">
        <v>1.2</v>
      </c>
      <c r="P4" s="5" t="n">
        <v>2.4</v>
      </c>
      <c r="Q4" s="6" t="n">
        <f aca="false">IF(COUNT(G4:P4)=0,"",SUM(G4:P4))</f>
        <v>23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35</v>
      </c>
      <c r="W4" s="4" t="n">
        <v>46293.7847222222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41</v>
      </c>
      <c r="E5" s="3" t="n">
        <v>4</v>
      </c>
      <c r="F5" s="4" t="n">
        <v>46293.7916666667</v>
      </c>
      <c r="G5" s="5" t="n">
        <v>2</v>
      </c>
      <c r="H5" s="5" t="n">
        <v>1.3</v>
      </c>
      <c r="I5" s="5" t="n">
        <v>4</v>
      </c>
      <c r="J5" s="5" t="n">
        <v>0</v>
      </c>
      <c r="K5" s="5" t="n">
        <v>0</v>
      </c>
      <c r="L5" s="5" t="n">
        <v>0.5</v>
      </c>
      <c r="M5" s="5" t="n">
        <v>0</v>
      </c>
      <c r="N5" s="5" t="n">
        <v>1.7</v>
      </c>
      <c r="O5" s="5" t="n">
        <v>0.5</v>
      </c>
      <c r="P5" s="5" t="n">
        <v>0</v>
      </c>
      <c r="Q5" s="6" t="n">
        <f aca="false">IF(COUNT(G5:P5)=0,"",SUM(G5:P5))</f>
        <v>10</v>
      </c>
      <c r="R5" s="3" t="s">
        <v>32</v>
      </c>
      <c r="S5" s="3" t="s">
        <v>42</v>
      </c>
      <c r="T5" s="3" t="s">
        <v>43</v>
      </c>
      <c r="U5" s="3" t="s">
        <v>44</v>
      </c>
      <c r="V5" s="3" t="s">
        <v>30</v>
      </c>
      <c r="W5" s="4" t="n">
        <v>46293.7916666667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45</v>
      </c>
      <c r="E6" s="3" t="n">
        <v>3</v>
      </c>
      <c r="F6" s="4" t="n">
        <v>46293.9305555556</v>
      </c>
      <c r="G6" s="5" t="n">
        <v>5.1</v>
      </c>
      <c r="H6" s="5" t="n">
        <v>3.4</v>
      </c>
      <c r="I6" s="5" t="n">
        <v>10.3</v>
      </c>
      <c r="J6" s="5" t="n">
        <v>0</v>
      </c>
      <c r="K6" s="5" t="n">
        <v>4.6</v>
      </c>
      <c r="L6" s="5" t="n">
        <v>0</v>
      </c>
      <c r="M6" s="5" t="n">
        <v>1.1</v>
      </c>
      <c r="N6" s="5" t="n">
        <v>5.7</v>
      </c>
      <c r="O6" s="5" t="n">
        <v>0.6</v>
      </c>
      <c r="P6" s="5" t="n">
        <v>2.3</v>
      </c>
      <c r="Q6" s="6" t="n">
        <f aca="false">IF(COUNT(G6:P6)=0,"",SUM(G6:P6))</f>
        <v>33.1</v>
      </c>
      <c r="R6" s="3" t="s">
        <v>46</v>
      </c>
      <c r="S6" s="3" t="s">
        <v>38</v>
      </c>
      <c r="T6" s="3" t="s">
        <v>39</v>
      </c>
      <c r="U6" s="3" t="s">
        <v>47</v>
      </c>
      <c r="V6" s="3" t="s">
        <v>35</v>
      </c>
      <c r="W6" s="4" t="n">
        <v>46293.9722222222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31</v>
      </c>
      <c r="E7" s="3" t="n">
        <v>2</v>
      </c>
      <c r="F7" s="4" t="n">
        <v>46294.2291666667</v>
      </c>
      <c r="G7" s="5" t="n">
        <v>18.8</v>
      </c>
      <c r="H7" s="5" t="n">
        <v>12.5</v>
      </c>
      <c r="I7" s="5" t="n">
        <v>37.5</v>
      </c>
      <c r="J7" s="5" t="n">
        <v>6.3</v>
      </c>
      <c r="K7" s="5" t="n">
        <v>0</v>
      </c>
      <c r="L7" s="5" t="n">
        <v>0</v>
      </c>
      <c r="M7" s="5" t="n">
        <v>6.3</v>
      </c>
      <c r="N7" s="5" t="n">
        <v>31.3</v>
      </c>
      <c r="O7" s="5" t="n">
        <v>6.3</v>
      </c>
      <c r="P7" s="5" t="n">
        <v>12.5</v>
      </c>
      <c r="Q7" s="6" t="n">
        <f aca="false">IF(COUNT(G7:P7)=0,"",SUM(G7:P7))</f>
        <v>131.5</v>
      </c>
      <c r="R7" s="3" t="s">
        <v>48</v>
      </c>
      <c r="S7" s="3" t="s">
        <v>27</v>
      </c>
      <c r="T7" s="3" t="s">
        <v>33</v>
      </c>
      <c r="U7" s="3" t="s">
        <v>49</v>
      </c>
      <c r="V7" s="3" t="s">
        <v>35</v>
      </c>
      <c r="W7" s="4" t="n">
        <v>46294.2708333333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41</v>
      </c>
      <c r="E8" s="3" t="n">
        <v>4</v>
      </c>
      <c r="F8" s="4" t="n">
        <v>46294.25</v>
      </c>
      <c r="G8" s="5" t="n">
        <v>2.1</v>
      </c>
      <c r="H8" s="5" t="n">
        <v>1.4</v>
      </c>
      <c r="I8" s="5" t="n">
        <v>4.2</v>
      </c>
      <c r="J8" s="5" t="n">
        <v>0</v>
      </c>
      <c r="K8" s="5" t="n">
        <v>0</v>
      </c>
      <c r="L8" s="5" t="n">
        <v>0.5</v>
      </c>
      <c r="M8" s="5" t="n">
        <v>0</v>
      </c>
      <c r="N8" s="5" t="n">
        <v>0.9</v>
      </c>
      <c r="O8" s="5" t="n">
        <v>0</v>
      </c>
      <c r="P8" s="5" t="n">
        <v>0.7</v>
      </c>
      <c r="Q8" s="6" t="n">
        <f aca="false">IF(COUNT(G8:P8)=0,"",SUM(G8:P8))</f>
        <v>9.8</v>
      </c>
      <c r="R8" s="3" t="s">
        <v>50</v>
      </c>
      <c r="S8" s="3" t="s">
        <v>42</v>
      </c>
      <c r="T8" s="3" t="s">
        <v>43</v>
      </c>
      <c r="U8" s="3" t="s">
        <v>51</v>
      </c>
      <c r="V8" s="3" t="s">
        <v>35</v>
      </c>
      <c r="W8" s="4" t="n">
        <v>46294.75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45</v>
      </c>
      <c r="E9" s="3" t="n">
        <v>3</v>
      </c>
      <c r="F9" s="4" t="n">
        <v>46294.8819444445</v>
      </c>
      <c r="G9" s="5" t="n">
        <v>19.6</v>
      </c>
      <c r="H9" s="5" t="n">
        <v>13.1</v>
      </c>
      <c r="I9" s="5" t="n">
        <v>39.3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10.9</v>
      </c>
      <c r="O9" s="5" t="n">
        <v>0</v>
      </c>
      <c r="P9" s="5" t="n">
        <v>2.2</v>
      </c>
      <c r="Q9" s="6" t="n">
        <f aca="false">IF(COUNT(G9:P9)=0,"",SUM(G9:P9))</f>
        <v>85.1</v>
      </c>
      <c r="R9" s="3" t="s">
        <v>52</v>
      </c>
      <c r="S9" s="3" t="s">
        <v>27</v>
      </c>
      <c r="T9" s="3" t="s">
        <v>33</v>
      </c>
      <c r="U9" s="3" t="s">
        <v>53</v>
      </c>
      <c r="V9" s="3" t="s">
        <v>35</v>
      </c>
      <c r="W9" s="4" t="n">
        <v>46295.3819444445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25</v>
      </c>
      <c r="E10" s="3" t="n">
        <v>3</v>
      </c>
      <c r="F10" s="4" t="n">
        <v>46294.9166666667</v>
      </c>
      <c r="G10" s="5" t="n">
        <v>2</v>
      </c>
      <c r="H10" s="5" t="n">
        <v>1.3</v>
      </c>
      <c r="I10" s="5" t="n">
        <v>4</v>
      </c>
      <c r="J10" s="5" t="n">
        <v>1.1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0.4</v>
      </c>
      <c r="Q10" s="6" t="n">
        <f aca="false">IF(COUNT(G10:P10)=0,"",SUM(G10:P10))</f>
        <v>8.8</v>
      </c>
      <c r="R10" s="3" t="s">
        <v>54</v>
      </c>
      <c r="S10" s="3" t="s">
        <v>42</v>
      </c>
      <c r="T10" s="3" t="s">
        <v>55</v>
      </c>
      <c r="U10" s="3" t="s">
        <v>56</v>
      </c>
      <c r="V10" s="3" t="s">
        <v>35</v>
      </c>
      <c r="W10" s="4" t="n">
        <v>46295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36</v>
      </c>
      <c r="E11" s="3" t="n">
        <v>2</v>
      </c>
      <c r="F11" s="4" t="n">
        <v>46294.9930555556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0</v>
      </c>
      <c r="R11" s="3" t="s">
        <v>57</v>
      </c>
      <c r="S11" s="3" t="s">
        <v>27</v>
      </c>
      <c r="T11" s="3" t="s">
        <v>33</v>
      </c>
      <c r="U11" s="3" t="s">
        <v>58</v>
      </c>
      <c r="V11" s="3" t="s">
        <v>59</v>
      </c>
      <c r="W11" s="4" t="n">
        <v>46295.0763888889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31</v>
      </c>
      <c r="E12" s="3" t="n">
        <v>2</v>
      </c>
      <c r="F12" s="4" t="n">
        <v>46295.2083333333</v>
      </c>
      <c r="G12" s="5" t="n">
        <v>1.5</v>
      </c>
      <c r="H12" s="5" t="n">
        <v>1</v>
      </c>
      <c r="I12" s="5" t="n">
        <v>3</v>
      </c>
      <c r="J12" s="5" t="n">
        <v>0</v>
      </c>
      <c r="K12" s="5" t="n">
        <v>1</v>
      </c>
      <c r="L12" s="5" t="n">
        <v>0.3</v>
      </c>
      <c r="M12" s="5" t="n">
        <v>0</v>
      </c>
      <c r="N12" s="5" t="n">
        <v>2.5</v>
      </c>
      <c r="O12" s="5" t="n">
        <v>0.3</v>
      </c>
      <c r="P12" s="5" t="n">
        <v>0.5</v>
      </c>
      <c r="Q12" s="6" t="n">
        <f aca="false">IF(COUNT(G12:P12)=0,"",SUM(G12:P12))</f>
        <v>10.1</v>
      </c>
      <c r="R12" s="3" t="s">
        <v>60</v>
      </c>
      <c r="S12" s="3" t="s">
        <v>42</v>
      </c>
      <c r="T12" s="3" t="s">
        <v>55</v>
      </c>
      <c r="U12" s="3" t="s">
        <v>61</v>
      </c>
      <c r="V12" s="3" t="s">
        <v>30</v>
      </c>
      <c r="W12" s="4" t="n">
        <v>46295.2916666667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25</v>
      </c>
      <c r="E13" s="3" t="n">
        <v>3</v>
      </c>
      <c r="F13" s="4" t="n">
        <v>46295.7986111111</v>
      </c>
      <c r="G13" s="5" t="n">
        <v>19.9</v>
      </c>
      <c r="H13" s="5" t="n">
        <v>13.3</v>
      </c>
      <c r="I13" s="5" t="n">
        <v>39.9</v>
      </c>
      <c r="J13" s="5" t="n">
        <v>11.1</v>
      </c>
      <c r="K13" s="5" t="n">
        <v>0</v>
      </c>
      <c r="L13" s="5" t="n">
        <v>0</v>
      </c>
      <c r="M13" s="5" t="n">
        <v>4.4</v>
      </c>
      <c r="N13" s="5" t="n">
        <v>0</v>
      </c>
      <c r="O13" s="5" t="n">
        <v>6.6</v>
      </c>
      <c r="P13" s="5" t="n">
        <v>8.9</v>
      </c>
      <c r="Q13" s="6" t="n">
        <f aca="false">IF(COUNT(G13:P13)=0,"",SUM(G13:P13))</f>
        <v>104.1</v>
      </c>
      <c r="R13" s="3" t="s">
        <v>62</v>
      </c>
      <c r="S13" s="3" t="s">
        <v>27</v>
      </c>
      <c r="T13" s="3" t="s">
        <v>28</v>
      </c>
      <c r="U13" s="3" t="s">
        <v>63</v>
      </c>
      <c r="V13" s="3" t="s">
        <v>30</v>
      </c>
      <c r="W13" s="4" t="n">
        <v>46295.9236111111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36</v>
      </c>
      <c r="E14" s="3" t="n">
        <v>2</v>
      </c>
      <c r="F14" s="4" t="n">
        <v>46295.9305555556</v>
      </c>
      <c r="G14" s="5" t="n">
        <v>59.9</v>
      </c>
      <c r="H14" s="5" t="n">
        <v>40</v>
      </c>
      <c r="I14" s="5" t="n">
        <v>119.9</v>
      </c>
      <c r="J14" s="5" t="n">
        <v>0</v>
      </c>
      <c r="K14" s="5" t="n">
        <v>40</v>
      </c>
      <c r="L14" s="5" t="n">
        <v>0</v>
      </c>
      <c r="M14" s="5" t="n">
        <v>20</v>
      </c>
      <c r="N14" s="5" t="n">
        <v>0</v>
      </c>
      <c r="O14" s="5" t="n">
        <v>0</v>
      </c>
      <c r="P14" s="5" t="n">
        <v>40</v>
      </c>
      <c r="Q14" s="6" t="n">
        <f aca="false">IF(COUNT(G14:P14)=0,"",SUM(G14:P14))</f>
        <v>319.8</v>
      </c>
      <c r="R14" s="3" t="s">
        <v>64</v>
      </c>
      <c r="S14" s="3" t="s">
        <v>65</v>
      </c>
      <c r="T14" s="3" t="s">
        <v>66</v>
      </c>
      <c r="U14" s="3" t="s">
        <v>67</v>
      </c>
      <c r="V14" s="3" t="s">
        <v>35</v>
      </c>
      <c r="W14" s="4" t="n">
        <v>46295.9722222222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41</v>
      </c>
      <c r="E15" s="3" t="n">
        <v>4</v>
      </c>
      <c r="F15" s="4" t="n">
        <v>46295.9791666667</v>
      </c>
      <c r="G15" s="5" t="n">
        <v>5.5</v>
      </c>
      <c r="H15" s="5" t="n">
        <v>3.7</v>
      </c>
      <c r="I15" s="5" t="n">
        <v>11</v>
      </c>
      <c r="J15" s="5" t="n">
        <v>2.3</v>
      </c>
      <c r="K15" s="5" t="n">
        <v>5.5</v>
      </c>
      <c r="L15" s="5" t="n">
        <v>1.4</v>
      </c>
      <c r="M15" s="5" t="n">
        <v>0</v>
      </c>
      <c r="N15" s="5" t="n">
        <v>4.6</v>
      </c>
      <c r="O15" s="5" t="n">
        <v>0.9</v>
      </c>
      <c r="P15" s="5" t="n">
        <v>0</v>
      </c>
      <c r="Q15" s="6" t="n">
        <f aca="false">IF(COUNT(G15:P15)=0,"",SUM(G15:P15))</f>
        <v>34.9</v>
      </c>
      <c r="R15" s="3" t="s">
        <v>68</v>
      </c>
      <c r="S15" s="3" t="s">
        <v>38</v>
      </c>
      <c r="T15" s="3" t="s">
        <v>39</v>
      </c>
      <c r="U15" s="3" t="s">
        <v>69</v>
      </c>
      <c r="V15" s="3" t="s">
        <v>35</v>
      </c>
      <c r="W15" s="4" t="n">
        <v>46296.2291666667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45</v>
      </c>
      <c r="E16" s="3" t="n">
        <v>3</v>
      </c>
      <c r="F16" s="4" t="n">
        <v>46296.1805555556</v>
      </c>
      <c r="G16" s="5" t="n">
        <v>5.4</v>
      </c>
      <c r="H16" s="5" t="n">
        <v>3.6</v>
      </c>
      <c r="I16" s="5" t="n">
        <v>10.7</v>
      </c>
      <c r="J16" s="5" t="n">
        <v>1.2</v>
      </c>
      <c r="K16" s="5" t="n">
        <v>0</v>
      </c>
      <c r="L16" s="5" t="n">
        <v>0</v>
      </c>
      <c r="M16" s="5" t="n">
        <v>0</v>
      </c>
      <c r="N16" s="5" t="n">
        <v>3</v>
      </c>
      <c r="O16" s="5" t="n">
        <v>0.6</v>
      </c>
      <c r="P16" s="5" t="n">
        <v>0.6</v>
      </c>
      <c r="Q16" s="6" t="n">
        <f aca="false">IF(COUNT(G16:P16)=0,"",SUM(G16:P16))</f>
        <v>25.1</v>
      </c>
      <c r="R16" s="3" t="s">
        <v>70</v>
      </c>
      <c r="S16" s="3" t="s">
        <v>38</v>
      </c>
      <c r="T16" s="3" t="s">
        <v>39</v>
      </c>
      <c r="U16" s="3" t="s">
        <v>71</v>
      </c>
      <c r="V16" s="3" t="s">
        <v>30</v>
      </c>
      <c r="W16" s="4" t="n">
        <v>46297.2638888889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36</v>
      </c>
      <c r="E17" s="3" t="n">
        <v>2</v>
      </c>
      <c r="F17" s="4" t="n">
        <v>46296.2430555556</v>
      </c>
      <c r="G17" s="5" t="n">
        <v>3.5</v>
      </c>
      <c r="H17" s="5" t="n">
        <v>2.3</v>
      </c>
      <c r="I17" s="5" t="n">
        <v>6.9</v>
      </c>
      <c r="J17" s="5" t="n">
        <v>0</v>
      </c>
      <c r="K17" s="5" t="n">
        <v>0</v>
      </c>
      <c r="L17" s="5" t="n">
        <v>0.6</v>
      </c>
      <c r="M17" s="5" t="n">
        <v>1.2</v>
      </c>
      <c r="N17" s="5" t="n">
        <v>0</v>
      </c>
      <c r="O17" s="5" t="n">
        <v>0.6</v>
      </c>
      <c r="P17" s="5" t="n">
        <v>2.3</v>
      </c>
      <c r="Q17" s="6" t="n">
        <f aca="false">IF(COUNT(G17:P17)=0,"",SUM(G17:P17))</f>
        <v>17.4</v>
      </c>
      <c r="R17" s="3" t="s">
        <v>72</v>
      </c>
      <c r="S17" s="3" t="s">
        <v>38</v>
      </c>
      <c r="T17" s="3" t="s">
        <v>39</v>
      </c>
      <c r="U17" s="3" t="s">
        <v>73</v>
      </c>
      <c r="V17" s="3" t="s">
        <v>30</v>
      </c>
      <c r="W17" s="4" t="n">
        <v>46296.3263888889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41</v>
      </c>
      <c r="E18" s="3" t="n">
        <v>4</v>
      </c>
      <c r="F18" s="4" t="n">
        <v>46296.25</v>
      </c>
      <c r="G18" s="5" t="n">
        <v>2</v>
      </c>
      <c r="H18" s="5" t="n">
        <v>1.3</v>
      </c>
      <c r="I18" s="5" t="n">
        <v>3.9</v>
      </c>
      <c r="J18" s="5" t="n">
        <v>0</v>
      </c>
      <c r="K18" s="5" t="n">
        <v>0</v>
      </c>
      <c r="L18" s="5" t="n">
        <v>0</v>
      </c>
      <c r="M18" s="5" t="n">
        <v>0.7</v>
      </c>
      <c r="N18" s="5" t="n">
        <v>0.8</v>
      </c>
      <c r="O18" s="5" t="n">
        <v>0.5</v>
      </c>
      <c r="P18" s="5" t="n">
        <v>0.3</v>
      </c>
      <c r="Q18" s="6" t="n">
        <f aca="false">IF(COUNT(G18:P18)=0,"",SUM(G18:P18))</f>
        <v>9.5</v>
      </c>
      <c r="R18" s="3" t="s">
        <v>74</v>
      </c>
      <c r="S18" s="3" t="s">
        <v>42</v>
      </c>
      <c r="T18" s="3" t="s">
        <v>43</v>
      </c>
      <c r="U18" s="3" t="s">
        <v>75</v>
      </c>
      <c r="V18" s="3" t="s">
        <v>35</v>
      </c>
      <c r="W18" s="4" t="n">
        <v>46296.2916666667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31</v>
      </c>
      <c r="E19" s="3" t="n">
        <v>2</v>
      </c>
      <c r="F19" s="4" t="n">
        <v>46296.2569444445</v>
      </c>
      <c r="G19" s="5" t="n">
        <v>2.8</v>
      </c>
      <c r="H19" s="5" t="n">
        <v>1.9</v>
      </c>
      <c r="I19" s="5" t="n">
        <v>5.6</v>
      </c>
      <c r="J19" s="5" t="n">
        <v>2.3</v>
      </c>
      <c r="K19" s="5" t="n">
        <v>0</v>
      </c>
      <c r="L19" s="5" t="n">
        <v>1.4</v>
      </c>
      <c r="M19" s="5" t="n">
        <v>1.9</v>
      </c>
      <c r="N19" s="5" t="n">
        <v>2.3</v>
      </c>
      <c r="O19" s="5" t="n">
        <v>1.4</v>
      </c>
      <c r="P19" s="5" t="n">
        <v>0</v>
      </c>
      <c r="Q19" s="6" t="n">
        <f aca="false">IF(COUNT(G19:P19)=0,"",SUM(G19:P19))</f>
        <v>19.6</v>
      </c>
      <c r="R19" s="3" t="s">
        <v>76</v>
      </c>
      <c r="S19" s="3" t="s">
        <v>42</v>
      </c>
      <c r="T19" s="3" t="s">
        <v>55</v>
      </c>
      <c r="U19" s="3" t="s">
        <v>77</v>
      </c>
      <c r="V19" s="3" t="s">
        <v>35</v>
      </c>
      <c r="W19" s="4" t="n">
        <v>46296.3819444445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31</v>
      </c>
      <c r="E20" s="3" t="n">
        <v>2</v>
      </c>
      <c r="F20" s="4" t="n">
        <v>46297.2708333333</v>
      </c>
      <c r="G20" s="5" t="n">
        <v>8.9</v>
      </c>
      <c r="H20" s="5" t="n">
        <v>5.9</v>
      </c>
      <c r="I20" s="5" t="n">
        <v>17.8</v>
      </c>
      <c r="J20" s="5" t="n">
        <v>0</v>
      </c>
      <c r="K20" s="5" t="n">
        <v>17.8</v>
      </c>
      <c r="L20" s="5" t="n">
        <v>0</v>
      </c>
      <c r="M20" s="5" t="n">
        <v>0</v>
      </c>
      <c r="N20" s="5" t="n">
        <v>7.4</v>
      </c>
      <c r="O20" s="5" t="n">
        <v>3</v>
      </c>
      <c r="P20" s="5" t="n">
        <v>5.9</v>
      </c>
      <c r="Q20" s="6" t="n">
        <f aca="false">IF(COUNT(G20:P20)=0,"",SUM(G20:P20))</f>
        <v>66.7</v>
      </c>
      <c r="R20" s="3" t="s">
        <v>78</v>
      </c>
      <c r="S20" s="3" t="s">
        <v>27</v>
      </c>
      <c r="T20" s="3" t="s">
        <v>28</v>
      </c>
      <c r="U20" s="3" t="s">
        <v>79</v>
      </c>
      <c r="V20" s="3" t="s">
        <v>80</v>
      </c>
      <c r="W20" s="4" t="n">
        <v>46297.2708333333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45</v>
      </c>
      <c r="E21" s="3" t="n">
        <v>3</v>
      </c>
      <c r="F21" s="4" t="n">
        <v>46297.875</v>
      </c>
      <c r="G21" s="5" t="n">
        <v>3.1</v>
      </c>
      <c r="H21" s="5" t="n">
        <v>2.1</v>
      </c>
      <c r="I21" s="5" t="n">
        <v>6.3</v>
      </c>
      <c r="J21" s="5" t="n">
        <v>1.7</v>
      </c>
      <c r="K21" s="5" t="n">
        <v>2.8</v>
      </c>
      <c r="L21" s="5" t="n">
        <v>0</v>
      </c>
      <c r="M21" s="5" t="n">
        <v>0</v>
      </c>
      <c r="N21" s="5" t="n">
        <v>1.7</v>
      </c>
      <c r="O21" s="5" t="n">
        <v>1</v>
      </c>
      <c r="P21" s="5" t="n">
        <v>0.7</v>
      </c>
      <c r="Q21" s="6" t="n">
        <f aca="false">IF(COUNT(G21:P21)=0,"",SUM(G21:P21))</f>
        <v>19.4</v>
      </c>
      <c r="R21" s="3" t="s">
        <v>81</v>
      </c>
      <c r="S21" s="3" t="s">
        <v>42</v>
      </c>
      <c r="T21" s="3" t="s">
        <v>55</v>
      </c>
      <c r="U21" s="3" t="s">
        <v>82</v>
      </c>
      <c r="V21" s="3" t="s">
        <v>30</v>
      </c>
      <c r="W21" s="4" t="n">
        <v>46297.9583333333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25</v>
      </c>
      <c r="E22" s="3" t="n">
        <v>3</v>
      </c>
      <c r="F22" s="4" t="n">
        <v>46297.9236111111</v>
      </c>
      <c r="G22" s="5" t="n">
        <v>3.3</v>
      </c>
      <c r="H22" s="5" t="n">
        <v>2.2</v>
      </c>
      <c r="I22" s="5" t="n">
        <v>6.5</v>
      </c>
      <c r="J22" s="5" t="n">
        <v>1.8</v>
      </c>
      <c r="K22" s="5" t="n">
        <v>4.3</v>
      </c>
      <c r="L22" s="5" t="n">
        <v>0</v>
      </c>
      <c r="M22" s="5" t="n">
        <v>0</v>
      </c>
      <c r="N22" s="5" t="n">
        <v>3.6</v>
      </c>
      <c r="O22" s="5" t="n">
        <v>0.4</v>
      </c>
      <c r="P22" s="5" t="n">
        <v>0.7</v>
      </c>
      <c r="Q22" s="6" t="n">
        <f aca="false">IF(COUNT(G22:P22)=0,"",SUM(G22:P22))</f>
        <v>22.8</v>
      </c>
      <c r="R22" s="3" t="s">
        <v>64</v>
      </c>
      <c r="S22" s="3" t="s">
        <v>38</v>
      </c>
      <c r="T22" s="3" t="s">
        <v>39</v>
      </c>
      <c r="U22" s="3" t="s">
        <v>83</v>
      </c>
      <c r="V22" s="3" t="s">
        <v>35</v>
      </c>
      <c r="W22" s="4" t="n">
        <v>46298.0069444445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41</v>
      </c>
      <c r="E23" s="3" t="n">
        <v>4</v>
      </c>
      <c r="F23" s="4" t="n">
        <v>46298.2222222222</v>
      </c>
      <c r="G23" s="5" t="n">
        <v>23.5</v>
      </c>
      <c r="H23" s="5" t="n">
        <v>15.7</v>
      </c>
      <c r="I23" s="5" t="n">
        <v>47</v>
      </c>
      <c r="J23" s="5" t="n">
        <v>0</v>
      </c>
      <c r="K23" s="5" t="n">
        <v>23.5</v>
      </c>
      <c r="L23" s="5" t="n">
        <v>5.9</v>
      </c>
      <c r="M23" s="5" t="n">
        <v>0</v>
      </c>
      <c r="N23" s="5" t="n">
        <v>0</v>
      </c>
      <c r="O23" s="5" t="n">
        <v>5.9</v>
      </c>
      <c r="P23" s="5" t="n">
        <v>7.8</v>
      </c>
      <c r="Q23" s="6" t="n">
        <f aca="false">IF(COUNT(G23:P23)=0,"",SUM(G23:P23))</f>
        <v>129.3</v>
      </c>
      <c r="R23" s="3" t="s">
        <v>84</v>
      </c>
      <c r="S23" s="3" t="s">
        <v>27</v>
      </c>
      <c r="T23" s="3" t="s">
        <v>33</v>
      </c>
      <c r="U23" s="3" t="s">
        <v>85</v>
      </c>
      <c r="V23" s="3" t="s">
        <v>86</v>
      </c>
      <c r="W23" s="4" t="n">
        <v>46298.7222222222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25</v>
      </c>
      <c r="E24" s="3" t="n">
        <v>3</v>
      </c>
      <c r="F24" s="4" t="n">
        <v>46298.9375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0</v>
      </c>
      <c r="R24" s="3" t="s">
        <v>87</v>
      </c>
      <c r="S24" s="3" t="s">
        <v>27</v>
      </c>
      <c r="T24" s="3" t="s">
        <v>33</v>
      </c>
      <c r="U24" s="3" t="s">
        <v>88</v>
      </c>
      <c r="V24" s="3" t="s">
        <v>59</v>
      </c>
      <c r="W24" s="4" t="n">
        <v>46298.9375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36</v>
      </c>
      <c r="E25" s="3" t="n">
        <v>2</v>
      </c>
      <c r="F25" s="4" t="n">
        <v>46298.9930555556</v>
      </c>
      <c r="G25" s="5" t="n">
        <v>1.1</v>
      </c>
      <c r="H25" s="5" t="n">
        <v>0.7</v>
      </c>
      <c r="I25" s="5" t="n">
        <v>2.1</v>
      </c>
      <c r="J25" s="5" t="n">
        <v>0</v>
      </c>
      <c r="K25" s="5" t="n">
        <v>2.1</v>
      </c>
      <c r="L25" s="5" t="n">
        <v>0.5</v>
      </c>
      <c r="M25" s="5" t="n">
        <v>0</v>
      </c>
      <c r="N25" s="5" t="n">
        <v>0.9</v>
      </c>
      <c r="O25" s="5" t="n">
        <v>0.5</v>
      </c>
      <c r="P25" s="5" t="n">
        <v>0.7</v>
      </c>
      <c r="Q25" s="6" t="n">
        <f aca="false">IF(COUNT(G25:P25)=0,"",SUM(G25:P25))</f>
        <v>8.6</v>
      </c>
      <c r="R25" s="3" t="s">
        <v>89</v>
      </c>
      <c r="S25" s="3" t="s">
        <v>42</v>
      </c>
      <c r="T25" s="3" t="s">
        <v>43</v>
      </c>
      <c r="U25" s="3" t="s">
        <v>90</v>
      </c>
      <c r="V25" s="3" t="s">
        <v>30</v>
      </c>
      <c r="W25" s="4" t="n">
        <v>46299.0347222222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25</v>
      </c>
      <c r="E26" s="3" t="n">
        <v>3</v>
      </c>
      <c r="F26" s="4" t="n">
        <v>46299.2152777778</v>
      </c>
      <c r="G26" s="5" t="n">
        <v>5.6</v>
      </c>
      <c r="H26" s="5" t="n">
        <v>3.7</v>
      </c>
      <c r="I26" s="5" t="n">
        <v>11.1</v>
      </c>
      <c r="J26" s="5" t="n">
        <v>0</v>
      </c>
      <c r="K26" s="5" t="n">
        <v>4.9</v>
      </c>
      <c r="L26" s="5" t="n">
        <v>0</v>
      </c>
      <c r="M26" s="5" t="n">
        <v>1.2</v>
      </c>
      <c r="N26" s="5" t="n">
        <v>3.1</v>
      </c>
      <c r="O26" s="5" t="n">
        <v>0.6</v>
      </c>
      <c r="P26" s="5" t="n">
        <v>1.2</v>
      </c>
      <c r="Q26" s="6" t="n">
        <f aca="false">IF(COUNT(G26:P26)=0,"",SUM(G26:P26))</f>
        <v>31.4</v>
      </c>
      <c r="R26" s="3" t="s">
        <v>89</v>
      </c>
      <c r="S26" s="3" t="s">
        <v>38</v>
      </c>
      <c r="T26" s="3" t="s">
        <v>39</v>
      </c>
      <c r="U26" s="3" t="s">
        <v>91</v>
      </c>
      <c r="V26" s="3" t="s">
        <v>35</v>
      </c>
      <c r="W26" s="4" t="n">
        <v>46299.4652777778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45</v>
      </c>
      <c r="E27" s="3" t="n">
        <v>3</v>
      </c>
      <c r="F27" s="4" t="n">
        <v>46299.7916666667</v>
      </c>
      <c r="G27" s="5" t="n">
        <v>65.7</v>
      </c>
      <c r="H27" s="5" t="n">
        <v>43.8</v>
      </c>
      <c r="I27" s="5" t="n">
        <v>131.3</v>
      </c>
      <c r="J27" s="5" t="n">
        <v>0</v>
      </c>
      <c r="K27" s="5" t="n">
        <v>29.2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14.6</v>
      </c>
      <c r="Q27" s="6" t="n">
        <f aca="false">IF(COUNT(G27:P27)=0,"",SUM(G27:P27))</f>
        <v>284.6</v>
      </c>
      <c r="R27" s="3" t="s">
        <v>92</v>
      </c>
      <c r="S27" s="3" t="s">
        <v>65</v>
      </c>
      <c r="T27" s="3" t="s">
        <v>66</v>
      </c>
      <c r="U27" s="3" t="s">
        <v>93</v>
      </c>
      <c r="V27" s="3" t="s">
        <v>35</v>
      </c>
      <c r="W27" s="4" t="n">
        <v>46299.8333333333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31</v>
      </c>
      <c r="E28" s="3" t="n">
        <v>2</v>
      </c>
      <c r="F28" s="4" t="n">
        <v>46299.8611111111</v>
      </c>
      <c r="G28" s="5" t="n">
        <v>2.3</v>
      </c>
      <c r="H28" s="5" t="n">
        <v>1.5</v>
      </c>
      <c r="I28" s="5" t="n">
        <v>4.6</v>
      </c>
      <c r="J28" s="5" t="n">
        <v>0</v>
      </c>
      <c r="K28" s="5" t="n">
        <v>4.6</v>
      </c>
      <c r="L28" s="5" t="n">
        <v>0</v>
      </c>
      <c r="M28" s="5" t="n">
        <v>0</v>
      </c>
      <c r="N28" s="5" t="n">
        <v>0</v>
      </c>
      <c r="O28" s="5" t="n">
        <v>0.8</v>
      </c>
      <c r="P28" s="5" t="n">
        <v>0</v>
      </c>
      <c r="Q28" s="6" t="n">
        <f aca="false">IF(COUNT(G28:P28)=0,"",SUM(G28:P28))</f>
        <v>13.8</v>
      </c>
      <c r="R28" s="3" t="s">
        <v>94</v>
      </c>
      <c r="S28" s="3" t="s">
        <v>38</v>
      </c>
      <c r="T28" s="3" t="s">
        <v>39</v>
      </c>
      <c r="U28" s="3" t="s">
        <v>95</v>
      </c>
      <c r="V28" s="3" t="s">
        <v>35</v>
      </c>
      <c r="W28" s="4" t="n">
        <v>46300.3611111111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41</v>
      </c>
      <c r="E29" s="3" t="n">
        <v>4</v>
      </c>
      <c r="F29" s="4" t="n">
        <v>46299.8888888889</v>
      </c>
      <c r="G29" s="5" t="n">
        <v>32.6</v>
      </c>
      <c r="H29" s="5" t="n">
        <v>21.8</v>
      </c>
      <c r="I29" s="5" t="n">
        <v>65.3</v>
      </c>
      <c r="J29" s="5" t="n">
        <v>13.6</v>
      </c>
      <c r="K29" s="5" t="n">
        <v>0</v>
      </c>
      <c r="L29" s="5" t="n">
        <v>2.7</v>
      </c>
      <c r="M29" s="5" t="n">
        <v>0</v>
      </c>
      <c r="N29" s="5" t="n">
        <v>27.2</v>
      </c>
      <c r="O29" s="5" t="n">
        <v>2.7</v>
      </c>
      <c r="P29" s="5" t="n">
        <v>0</v>
      </c>
      <c r="Q29" s="6" t="n">
        <f aca="false">IF(COUNT(G29:P29)=0,"",SUM(G29:P29))</f>
        <v>165.9</v>
      </c>
      <c r="R29" s="3" t="s">
        <v>96</v>
      </c>
      <c r="S29" s="3" t="s">
        <v>27</v>
      </c>
      <c r="T29" s="3" t="s">
        <v>33</v>
      </c>
      <c r="U29" s="3" t="s">
        <v>97</v>
      </c>
      <c r="V29" s="3" t="s">
        <v>35</v>
      </c>
      <c r="W29" s="4" t="n">
        <v>46299.9722222222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36</v>
      </c>
      <c r="E30" s="3" t="n">
        <v>2</v>
      </c>
      <c r="F30" s="4" t="n">
        <v>46300.2569444445</v>
      </c>
      <c r="G30" s="5" t="n">
        <v>1.4</v>
      </c>
      <c r="H30" s="5" t="n">
        <v>0.9</v>
      </c>
      <c r="I30" s="5" t="n">
        <v>2.8</v>
      </c>
      <c r="J30" s="5" t="n">
        <v>1.2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0.7</v>
      </c>
      <c r="P30" s="5" t="n">
        <v>0</v>
      </c>
      <c r="Q30" s="6" t="n">
        <f aca="false">IF(COUNT(G30:P30)=0,"",SUM(G30:P30))</f>
        <v>7</v>
      </c>
      <c r="R30" s="3" t="s">
        <v>98</v>
      </c>
      <c r="S30" s="3" t="s">
        <v>42</v>
      </c>
      <c r="T30" s="3" t="s">
        <v>43</v>
      </c>
      <c r="U30" s="3" t="s">
        <v>99</v>
      </c>
      <c r="V30" s="3" t="s">
        <v>35</v>
      </c>
      <c r="W30" s="4" t="n">
        <v>46300.2986111111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41</v>
      </c>
      <c r="E31" s="3" t="n">
        <v>4</v>
      </c>
      <c r="F31" s="4" t="n">
        <v>46300.8333333333</v>
      </c>
      <c r="G31" s="5" t="n">
        <v>28.2</v>
      </c>
      <c r="H31" s="5" t="n">
        <v>18.8</v>
      </c>
      <c r="I31" s="5" t="n">
        <v>56.4</v>
      </c>
      <c r="J31" s="5" t="n">
        <v>11.7</v>
      </c>
      <c r="K31" s="5" t="n">
        <v>9.4</v>
      </c>
      <c r="L31" s="5" t="n">
        <v>0</v>
      </c>
      <c r="M31" s="5" t="n">
        <v>9.4</v>
      </c>
      <c r="N31" s="5" t="n">
        <v>11.7</v>
      </c>
      <c r="O31" s="5" t="n">
        <v>2.3</v>
      </c>
      <c r="P31" s="5" t="n">
        <v>9.4</v>
      </c>
      <c r="Q31" s="6" t="n">
        <f aca="false">IF(COUNT(G31:P31)=0,"",SUM(G31:P31))</f>
        <v>157.3</v>
      </c>
      <c r="R31" s="3" t="s">
        <v>60</v>
      </c>
      <c r="S31" s="3" t="s">
        <v>27</v>
      </c>
      <c r="T31" s="3" t="s">
        <v>28</v>
      </c>
      <c r="U31" s="3" t="s">
        <v>100</v>
      </c>
      <c r="V31" s="3" t="s">
        <v>35</v>
      </c>
      <c r="W31" s="4" t="n">
        <v>46300.8333333333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45</v>
      </c>
      <c r="E32" s="3" t="n">
        <v>3</v>
      </c>
      <c r="F32" s="4" t="n">
        <v>46300.8541666667</v>
      </c>
      <c r="G32" s="5" t="n">
        <v>7.7</v>
      </c>
      <c r="H32" s="5" t="n">
        <v>5.2</v>
      </c>
      <c r="I32" s="5" t="n">
        <v>15.5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6" t="n">
        <f aca="false">IF(COUNT(G32:P32)=0,"",SUM(G32:P32))</f>
        <v>28.4</v>
      </c>
      <c r="R32" s="3" t="s">
        <v>101</v>
      </c>
      <c r="S32" s="3" t="s">
        <v>38</v>
      </c>
      <c r="T32" s="3" t="s">
        <v>39</v>
      </c>
      <c r="U32" s="3" t="s">
        <v>102</v>
      </c>
      <c r="V32" s="3" t="s">
        <v>35</v>
      </c>
      <c r="W32" s="4" t="n">
        <v>46300.9375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25</v>
      </c>
      <c r="E33" s="3" t="n">
        <v>3</v>
      </c>
      <c r="F33" s="4" t="n">
        <v>46300.9652777778</v>
      </c>
      <c r="G33" s="5" t="n">
        <v>86</v>
      </c>
      <c r="H33" s="5" t="n">
        <v>57.3</v>
      </c>
      <c r="I33" s="5" t="n">
        <v>171.9</v>
      </c>
      <c r="J33" s="5" t="n">
        <v>47.8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9.6</v>
      </c>
      <c r="Q33" s="6" t="n">
        <f aca="false">IF(COUNT(G33:P33)=0,"",SUM(G33:P33))</f>
        <v>372.6</v>
      </c>
      <c r="R33" s="3" t="s">
        <v>103</v>
      </c>
      <c r="S33" s="3" t="s">
        <v>65</v>
      </c>
      <c r="T33" s="3" t="s">
        <v>66</v>
      </c>
      <c r="U33" s="3" t="s">
        <v>104</v>
      </c>
      <c r="V33" s="3" t="s">
        <v>30</v>
      </c>
      <c r="W33" s="4" t="n">
        <v>46302.0486111111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31</v>
      </c>
      <c r="E34" s="3" t="n">
        <v>2</v>
      </c>
      <c r="F34" s="4" t="n">
        <v>46301.8125</v>
      </c>
      <c r="G34" s="5" t="n">
        <v>1.6</v>
      </c>
      <c r="H34" s="5" t="n">
        <v>1.1</v>
      </c>
      <c r="I34" s="5" t="n">
        <v>3.2</v>
      </c>
      <c r="J34" s="5" t="n">
        <v>0.5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0.8</v>
      </c>
      <c r="P34" s="5" t="n">
        <v>1.1</v>
      </c>
      <c r="Q34" s="6" t="n">
        <f aca="false">IF(COUNT(G34:P34)=0,"",SUM(G34:P34))</f>
        <v>8.3</v>
      </c>
      <c r="R34" s="3" t="s">
        <v>52</v>
      </c>
      <c r="S34" s="3" t="s">
        <v>42</v>
      </c>
      <c r="T34" s="3" t="s">
        <v>55</v>
      </c>
      <c r="U34" s="3" t="s">
        <v>105</v>
      </c>
      <c r="V34" s="3" t="s">
        <v>35</v>
      </c>
      <c r="W34" s="4" t="n">
        <v>46302.3125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36</v>
      </c>
      <c r="E35" s="3" t="n">
        <v>2</v>
      </c>
      <c r="F35" s="4" t="n">
        <v>46301.8263888889</v>
      </c>
      <c r="G35" s="5" t="n">
        <v>4.5</v>
      </c>
      <c r="H35" s="5" t="n">
        <v>3</v>
      </c>
      <c r="I35" s="5" t="n">
        <v>9</v>
      </c>
      <c r="J35" s="5" t="n">
        <v>3.7</v>
      </c>
      <c r="K35" s="5" t="n">
        <v>9</v>
      </c>
      <c r="L35" s="5" t="n">
        <v>0.7</v>
      </c>
      <c r="M35" s="5" t="n">
        <v>0</v>
      </c>
      <c r="N35" s="5" t="n">
        <v>0</v>
      </c>
      <c r="O35" s="5" t="n">
        <v>2.2</v>
      </c>
      <c r="P35" s="5" t="n">
        <v>0.7</v>
      </c>
      <c r="Q35" s="6" t="n">
        <f aca="false">IF(COUNT(G35:P35)=0,"",SUM(G35:P35))</f>
        <v>32.8</v>
      </c>
      <c r="R35" s="3" t="s">
        <v>106</v>
      </c>
      <c r="S35" s="3" t="s">
        <v>38</v>
      </c>
      <c r="T35" s="3" t="s">
        <v>39</v>
      </c>
      <c r="U35" s="3" t="s">
        <v>107</v>
      </c>
      <c r="V35" s="3" t="s">
        <v>80</v>
      </c>
      <c r="W35" s="4" t="n">
        <v>46301.8263888889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45</v>
      </c>
      <c r="E36" s="3" t="n">
        <v>3</v>
      </c>
      <c r="F36" s="4" t="n">
        <v>46301.9583333333</v>
      </c>
      <c r="G36" s="5" t="n">
        <v>26.7</v>
      </c>
      <c r="H36" s="5" t="n">
        <v>17.8</v>
      </c>
      <c r="I36" s="5" t="n">
        <v>53.4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14.8</v>
      </c>
      <c r="O36" s="5" t="n">
        <v>8.9</v>
      </c>
      <c r="P36" s="5" t="n">
        <v>5.9</v>
      </c>
      <c r="Q36" s="6" t="n">
        <f aca="false">IF(COUNT(G36:P36)=0,"",SUM(G36:P36))</f>
        <v>127.5</v>
      </c>
      <c r="R36" s="3" t="s">
        <v>81</v>
      </c>
      <c r="S36" s="3" t="s">
        <v>27</v>
      </c>
      <c r="T36" s="3" t="s">
        <v>33</v>
      </c>
      <c r="U36" s="3" t="s">
        <v>108</v>
      </c>
      <c r="V36" s="3" t="s">
        <v>35</v>
      </c>
      <c r="W36" s="4" t="n">
        <v>46302.4583333333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41</v>
      </c>
      <c r="E37" s="3" t="n">
        <v>4</v>
      </c>
      <c r="F37" s="4" t="n">
        <v>46301.9930555556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0</v>
      </c>
      <c r="R37" s="3" t="s">
        <v>109</v>
      </c>
      <c r="S37" s="3" t="s">
        <v>27</v>
      </c>
      <c r="T37" s="3" t="s">
        <v>33</v>
      </c>
      <c r="U37" s="3" t="s">
        <v>110</v>
      </c>
      <c r="V37" s="3" t="s">
        <v>59</v>
      </c>
      <c r="W37" s="4" t="n">
        <v>46302.1180555556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25</v>
      </c>
      <c r="E38" s="3" t="n">
        <v>3</v>
      </c>
      <c r="F38" s="4" t="n">
        <v>46301.9930555556</v>
      </c>
      <c r="G38" s="5" t="n">
        <v>2.3</v>
      </c>
      <c r="H38" s="5" t="n">
        <v>1.6</v>
      </c>
      <c r="I38" s="5" t="n">
        <v>4.7</v>
      </c>
      <c r="J38" s="5" t="n">
        <v>1.3</v>
      </c>
      <c r="K38" s="5" t="n">
        <v>2.1</v>
      </c>
      <c r="L38" s="5" t="n">
        <v>0.8</v>
      </c>
      <c r="M38" s="5" t="n">
        <v>1</v>
      </c>
      <c r="N38" s="5" t="n">
        <v>2.6</v>
      </c>
      <c r="O38" s="5" t="n">
        <v>0.8</v>
      </c>
      <c r="P38" s="5" t="n">
        <v>0</v>
      </c>
      <c r="Q38" s="6" t="n">
        <f aca="false">IF(COUNT(G38:P38)=0,"",SUM(G38:P38))</f>
        <v>17.2</v>
      </c>
      <c r="R38" s="3" t="s">
        <v>111</v>
      </c>
      <c r="S38" s="3" t="s">
        <v>38</v>
      </c>
      <c r="T38" s="3" t="s">
        <v>39</v>
      </c>
      <c r="U38" s="3" t="s">
        <v>112</v>
      </c>
      <c r="V38" s="3" t="s">
        <v>35</v>
      </c>
      <c r="W38" s="4" t="n">
        <v>46302.4930555556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41</v>
      </c>
      <c r="E39" s="3" t="n">
        <v>4</v>
      </c>
      <c r="F39" s="4" t="n">
        <v>46302.1736111111</v>
      </c>
      <c r="G39" s="5" t="n">
        <v>79.8</v>
      </c>
      <c r="H39" s="5" t="n">
        <v>53.2</v>
      </c>
      <c r="I39" s="5" t="n">
        <v>159.7</v>
      </c>
      <c r="J39" s="5" t="n">
        <v>0</v>
      </c>
      <c r="K39" s="5" t="n">
        <v>0</v>
      </c>
      <c r="L39" s="5" t="n">
        <v>0</v>
      </c>
      <c r="M39" s="5" t="n">
        <v>13.3</v>
      </c>
      <c r="N39" s="5" t="n">
        <v>33.3</v>
      </c>
      <c r="O39" s="5" t="n">
        <v>13.3</v>
      </c>
      <c r="P39" s="5" t="n">
        <v>6.7</v>
      </c>
      <c r="Q39" s="6" t="n">
        <f aca="false">IF(COUNT(G39:P39)=0,"",SUM(G39:P39))</f>
        <v>359.3</v>
      </c>
      <c r="R39" s="3" t="s">
        <v>113</v>
      </c>
      <c r="S39" s="3" t="s">
        <v>65</v>
      </c>
      <c r="T39" s="3" t="s">
        <v>66</v>
      </c>
      <c r="U39" s="3" t="s">
        <v>114</v>
      </c>
      <c r="V39" s="3" t="s">
        <v>35</v>
      </c>
      <c r="W39" s="4" t="n">
        <v>46302.2569444445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36</v>
      </c>
      <c r="E40" s="3" t="n">
        <v>2</v>
      </c>
      <c r="F40" s="4" t="n">
        <v>46302.2152777778</v>
      </c>
      <c r="G40" s="5" t="n">
        <v>5.2</v>
      </c>
      <c r="H40" s="5" t="n">
        <v>3.4</v>
      </c>
      <c r="I40" s="5" t="n">
        <v>10.3</v>
      </c>
      <c r="J40" s="5" t="n">
        <v>4.3</v>
      </c>
      <c r="K40" s="5" t="n">
        <v>3.4</v>
      </c>
      <c r="L40" s="5" t="n">
        <v>0</v>
      </c>
      <c r="M40" s="5" t="n">
        <v>0</v>
      </c>
      <c r="N40" s="5" t="n">
        <v>0</v>
      </c>
      <c r="O40" s="5" t="n">
        <v>0.9</v>
      </c>
      <c r="P40" s="5" t="n">
        <v>1.7</v>
      </c>
      <c r="Q40" s="6" t="n">
        <f aca="false">IF(COUNT(G40:P40)=0,"",SUM(G40:P40))</f>
        <v>29.2</v>
      </c>
      <c r="R40" s="3" t="s">
        <v>109</v>
      </c>
      <c r="S40" s="3" t="s">
        <v>38</v>
      </c>
      <c r="T40" s="3" t="s">
        <v>39</v>
      </c>
      <c r="U40" s="3" t="s">
        <v>115</v>
      </c>
      <c r="V40" s="3" t="s">
        <v>116</v>
      </c>
      <c r="W40" s="4" t="n">
        <v>46302.2152777778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45</v>
      </c>
      <c r="E41" s="3" t="n">
        <v>3</v>
      </c>
      <c r="F41" s="4" t="n">
        <v>46302.8263888889</v>
      </c>
      <c r="G41" s="5" t="n">
        <v>30.9</v>
      </c>
      <c r="H41" s="5" t="n">
        <v>20.6</v>
      </c>
      <c r="I41" s="5" t="n">
        <v>61.8</v>
      </c>
      <c r="J41" s="5" t="n">
        <v>6.9</v>
      </c>
      <c r="K41" s="5" t="n">
        <v>13.7</v>
      </c>
      <c r="L41" s="5" t="n">
        <v>10.3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144.2</v>
      </c>
      <c r="R41" s="3" t="s">
        <v>117</v>
      </c>
      <c r="S41" s="3" t="s">
        <v>27</v>
      </c>
      <c r="T41" s="3" t="s">
        <v>28</v>
      </c>
      <c r="U41" s="3" t="s">
        <v>118</v>
      </c>
      <c r="V41" s="3" t="s">
        <v>116</v>
      </c>
      <c r="W41" s="4" t="n">
        <v>46303.0763888889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25</v>
      </c>
      <c r="E42" s="3" t="n">
        <v>3</v>
      </c>
      <c r="F42" s="4" t="n">
        <v>46302.9375</v>
      </c>
      <c r="G42" s="5" t="n">
        <v>3.2</v>
      </c>
      <c r="H42" s="5" t="n">
        <v>2.1</v>
      </c>
      <c r="I42" s="5" t="n">
        <v>6.3</v>
      </c>
      <c r="J42" s="5" t="n">
        <v>0</v>
      </c>
      <c r="K42" s="5" t="n">
        <v>2.8</v>
      </c>
      <c r="L42" s="5" t="n">
        <v>0</v>
      </c>
      <c r="M42" s="5" t="n">
        <v>0</v>
      </c>
      <c r="N42" s="5" t="n">
        <v>1.8</v>
      </c>
      <c r="O42" s="5" t="n">
        <v>0.7</v>
      </c>
      <c r="P42" s="5" t="n">
        <v>0</v>
      </c>
      <c r="Q42" s="6" t="n">
        <f aca="false">IF(COUNT(G42:P42)=0,"",SUM(G42:P42))</f>
        <v>16.9</v>
      </c>
      <c r="R42" s="3" t="s">
        <v>119</v>
      </c>
      <c r="S42" s="3" t="s">
        <v>42</v>
      </c>
      <c r="T42" s="3" t="s">
        <v>43</v>
      </c>
      <c r="U42" s="3" t="s">
        <v>120</v>
      </c>
      <c r="V42" s="3" t="s">
        <v>30</v>
      </c>
      <c r="W42" s="4" t="n">
        <v>46303.0625</v>
      </c>
    </row>
    <row r="43" customFormat="false" ht="15" hidden="false" customHeight="false" outlineLevel="0" collapsed="false">
      <c r="A43" s="2" t="str">
        <f aca="false">IF(D43="","",ROW()-1)</f>
        <v/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6" t="str">
        <f aca="false">IF(COUNT(G43:P43)=0,"",SUM(G43:P43))</f>
        <v/>
      </c>
      <c r="R43" s="3"/>
      <c r="S43" s="3"/>
      <c r="T43" s="3"/>
      <c r="U43" s="3"/>
      <c r="V43" s="3"/>
      <c r="W43" s="4"/>
    </row>
    <row r="44" customFormat="false" ht="15" hidden="false" customHeight="false" outlineLevel="0" collapsed="false">
      <c r="A44" s="2" t="str">
        <f aca="false">IF(D44="","",ROW()-1)</f>
        <v/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tr">
        <f aca="false">IF(COUNT(G44:P44)=0,"",SUM(G44:P44))</f>
        <v/>
      </c>
      <c r="R44" s="3"/>
      <c r="S44" s="3"/>
      <c r="T44" s="3"/>
      <c r="U44" s="3"/>
      <c r="V44" s="3"/>
      <c r="W44" s="4"/>
    </row>
    <row r="45" customFormat="false" ht="15" hidden="false" customHeight="false" outlineLevel="0" collapsed="false">
      <c r="A45" s="2" t="str">
        <f aca="false">IF(D45="","",ROW()-1)</f>
        <v/>
      </c>
      <c r="B45" s="3"/>
      <c r="C45" s="3"/>
      <c r="D45" s="3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6" t="str">
        <f aca="false">IF(COUNT(G45:P45)=0,"",SUM(G45:P45))</f>
        <v/>
      </c>
      <c r="R45" s="3"/>
      <c r="S45" s="3"/>
      <c r="T45" s="3"/>
      <c r="U45" s="3"/>
      <c r="V45" s="3"/>
      <c r="W45" s="4"/>
    </row>
    <row r="46" customFormat="false" ht="15" hidden="false" customHeight="false" outlineLevel="0" collapsed="false">
      <c r="A46" s="2" t="str">
        <f aca="false">IF(D46="","",ROW()-1)</f>
        <v/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str">
        <f aca="false">IF(COUNT(G46:P46)=0,"",SUM(G46:P46))</f>
        <v/>
      </c>
      <c r="R46" s="3"/>
      <c r="S46" s="3"/>
      <c r="T46" s="3"/>
      <c r="U46" s="3"/>
      <c r="V46" s="3"/>
      <c r="W46" s="4"/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"Т1085"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121</v>
      </c>
      <c r="B1" s="0" t="s">
        <v>122</v>
      </c>
      <c r="C1" s="0" t="s">
        <v>123</v>
      </c>
    </row>
    <row r="2" customFormat="false" ht="15" hidden="false" customHeight="false" outlineLevel="0" collapsed="false">
      <c r="A2" s="0" t="s">
        <v>24</v>
      </c>
      <c r="B2" s="0" t="s">
        <v>41</v>
      </c>
      <c r="C2" s="0" t="s">
        <v>27</v>
      </c>
    </row>
    <row r="3" customFormat="false" ht="15" hidden="false" customHeight="false" outlineLevel="0" collapsed="false">
      <c r="B3" s="0" t="s">
        <v>36</v>
      </c>
      <c r="C3" s="0" t="s">
        <v>42</v>
      </c>
    </row>
    <row r="4" customFormat="false" ht="15" hidden="false" customHeight="false" outlineLevel="0" collapsed="false">
      <c r="B4" s="0" t="s">
        <v>25</v>
      </c>
      <c r="C4" s="0" t="s">
        <v>38</v>
      </c>
    </row>
    <row r="5" customFormat="false" ht="15" hidden="false" customHeight="false" outlineLevel="0" collapsed="false">
      <c r="B5" s="0" t="s">
        <v>45</v>
      </c>
      <c r="C5" s="0" t="s">
        <v>65</v>
      </c>
    </row>
    <row r="6" customFormat="false" ht="15" hidden="false" customHeight="false" outlineLevel="0" collapsed="false">
      <c r="B6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2026-10-07T07:20:16Z</dcterms:created>
  <dc:creator>openpyxl</dc:creator>
  <dc:description/>
  <dc:language>en-US</dc:language>
  <cp:lastModifiedBy/>
  <dcterms:modified xsi:type="dcterms:W3CDTF">2026-10-07T07:20:16Z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